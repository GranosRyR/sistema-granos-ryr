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Ql.&quot;"/>
    <numFmt numFmtId="165" formatCode="&quot;Bs.&quot; #,##0.00"/>
    <numFmt numFmtId="166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1B4D2E"/>
      <sz val="18"/>
    </font>
    <font>
      <name val="Segoe UI"/>
      <i val="1"/>
      <color rgb="00444444"/>
      <sz val="10"/>
    </font>
    <font>
      <name val="Segoe UI"/>
      <b val="1"/>
      <color rgb="00555555"/>
      <sz val="10"/>
    </font>
    <font>
      <name val="Segoe UI"/>
      <b val="1"/>
      <color rgb="00000000"/>
      <sz val="10"/>
    </font>
    <font>
      <name val="Segoe UI"/>
      <b val="1"/>
      <color rgb="001B4D2E"/>
      <sz val="14"/>
    </font>
    <font>
      <name val="Segoe UI"/>
      <b val="1"/>
      <color rgb="00FFFFFF"/>
      <sz val="11"/>
    </font>
    <font>
      <b val="1"/>
      <color rgb="002E7D32"/>
    </font>
    <font>
      <b val="1"/>
      <color rgb="00C62828"/>
    </font>
    <font>
      <name val="Segoe UI"/>
      <b val="1"/>
      <color rgb="001B4D2E"/>
      <sz val="11"/>
    </font>
  </fonts>
  <fills count="5">
    <fill>
      <patternFill/>
    </fill>
    <fill>
      <patternFill patternType="gray125"/>
    </fill>
    <fill>
      <patternFill patternType="solid">
        <fgColor rgb="001B4D2E"/>
        <bgColor rgb="001B4D2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1B4D2E"/>
      </top>
      <bottom style="double">
        <color rgb="001B4D2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pivotButton="0" quotePrefix="0" xfId="0"/>
    <xf numFmtId="166" fontId="0" fillId="0" borderId="1" pivotButton="0" quotePrefix="0" xfId="0"/>
    <xf numFmtId="0" fontId="7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0" fillId="3" borderId="2" pivotButton="0" quotePrefix="0" xfId="0"/>
    <xf numFmtId="0" fontId="9" fillId="3" borderId="2" pivotButton="0" quotePrefix="0" xfId="0"/>
    <xf numFmtId="164" fontId="9" fillId="3" borderId="2" pivotButton="0" quotePrefix="0" xfId="0"/>
    <xf numFmtId="165" fontId="0" fillId="0" borderId="1" applyAlignment="1" pivotButton="0" quotePrefix="0" xfId="0">
      <alignment horizontal="right"/>
    </xf>
    <xf numFmtId="165" fontId="9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29" customWidth="1" min="3" max="3"/>
    <col width="20" customWidth="1" min="4" max="4"/>
    <col width="24" customWidth="1" min="5" max="5"/>
    <col width="45" customWidth="1" min="6" max="6"/>
    <col width="25" customWidth="1" min="7" max="7"/>
    <col width="30" customWidth="1" min="8" max="8"/>
    <col width="16" customWidth="1" min="9" max="9"/>
  </cols>
  <sheetData>
    <row r="1">
      <c r="A1" s="1" t="inlineStr">
        <is>
          <t>GRANOS RyR — REPORTE Y CONTROL DE OPERACIONES</t>
        </is>
      </c>
    </row>
    <row r="2">
      <c r="A2" s="2" t="inlineStr">
        <is>
          <t>Nutrición Animal | Sistema Consolidado de Inventario y Ventas</t>
        </is>
      </c>
    </row>
    <row r="3">
      <c r="A3" s="3" t="inlineStr">
        <is>
          <t>📅 FECHA DE EMISIÓN DE ESTE REPORTE:</t>
        </is>
      </c>
      <c r="D3" s="4" t="inlineStr">
        <is>
          <t>22/07/2026 18:00</t>
        </is>
      </c>
    </row>
    <row r="4"/>
    <row r="5">
      <c r="A5" s="5" t="inlineStr">
        <is>
          <t>📦 1. ESTADO DE INVENTARIO Y STOCK ACTUAL</t>
        </is>
      </c>
    </row>
    <row r="6">
      <c r="A6" s="6" t="inlineStr">
        <is>
          <t>ID Producto</t>
        </is>
      </c>
      <c r="B6" s="6" t="inlineStr">
        <is>
          <t>Producto / Grano</t>
        </is>
      </c>
      <c r="C6" s="6" t="inlineStr">
        <is>
          <t>Categoría</t>
        </is>
      </c>
      <c r="D6" s="6" t="inlineStr">
        <is>
          <t>Stock Total</t>
        </is>
      </c>
      <c r="E6" s="6" t="inlineStr">
        <is>
          <t>Costo Compra (Bs/Ql)</t>
        </is>
      </c>
      <c r="F6" s="6" t="inlineStr">
        <is>
          <t>Precio Venta (Bs/Ql)</t>
        </is>
      </c>
      <c r="G6" s="6" t="inlineStr">
        <is>
          <t>Ganancia Neta (Bs/Ql)</t>
        </is>
      </c>
      <c r="H6" s="6" t="inlineStr">
        <is>
          <t>Margen %</t>
        </is>
      </c>
      <c r="I6" s="6" t="inlineStr">
        <is>
          <t>Estado</t>
        </is>
      </c>
    </row>
    <row r="7">
      <c r="A7" s="7" t="inlineStr">
        <is>
          <t>PROD-001</t>
        </is>
      </c>
      <c r="B7" s="8" t="inlineStr">
        <is>
          <t>Quintal de Soya</t>
        </is>
      </c>
      <c r="C7" s="7" t="inlineStr">
        <is>
          <t>Soya</t>
        </is>
      </c>
      <c r="D7" s="9" t="n">
        <v>270</v>
      </c>
      <c r="E7" s="10" t="n">
        <v>113.33</v>
      </c>
      <c r="F7" s="10" t="n">
        <v>148.33</v>
      </c>
      <c r="G7" s="10">
        <f>F7-E7</f>
        <v/>
      </c>
      <c r="H7" s="11">
        <f>IF(E7=0,0,(F7-E7)/E7)</f>
        <v/>
      </c>
      <c r="I7" s="12" t="inlineStr">
        <is>
          <t>En stock</t>
        </is>
      </c>
    </row>
    <row r="8">
      <c r="A8" s="7" t="inlineStr">
        <is>
          <t>PROD-002</t>
        </is>
      </c>
      <c r="B8" s="8" t="inlineStr">
        <is>
          <t>Quintal de Maíz</t>
        </is>
      </c>
      <c r="C8" s="7" t="inlineStr">
        <is>
          <t>Maíz</t>
        </is>
      </c>
      <c r="D8" s="9" t="n">
        <v>150</v>
      </c>
      <c r="E8" s="10" t="n">
        <v>70</v>
      </c>
      <c r="F8" s="10" t="n">
        <v>95</v>
      </c>
      <c r="G8" s="10">
        <f>F8-E8</f>
        <v/>
      </c>
      <c r="H8" s="11">
        <f>IF(E8=0,0,(F8-E8)/E8)</f>
        <v/>
      </c>
      <c r="I8" s="12" t="inlineStr">
        <is>
          <t>En stock</t>
        </is>
      </c>
    </row>
    <row r="9">
      <c r="A9" s="7" t="inlineStr">
        <is>
          <t>PROD-003</t>
        </is>
      </c>
      <c r="B9" s="8" t="inlineStr">
        <is>
          <t>Quintal de Sorgo</t>
        </is>
      </c>
      <c r="C9" s="7" t="inlineStr">
        <is>
          <t>Sorgo</t>
        </is>
      </c>
      <c r="D9" s="9" t="n">
        <v>80</v>
      </c>
      <c r="E9" s="10" t="n">
        <v>65</v>
      </c>
      <c r="F9" s="10" t="n">
        <v>88</v>
      </c>
      <c r="G9" s="10">
        <f>F9-E9</f>
        <v/>
      </c>
      <c r="H9" s="11">
        <f>IF(E9=0,0,(F9-E9)/E9)</f>
        <v/>
      </c>
      <c r="I9" s="12" t="inlineStr">
        <is>
          <t>En stock</t>
        </is>
      </c>
    </row>
    <row r="10">
      <c r="A10" s="7" t="inlineStr">
        <is>
          <t>PROD-004</t>
        </is>
      </c>
      <c r="B10" s="8" t="inlineStr">
        <is>
          <t>Cascarilla de Soya</t>
        </is>
      </c>
      <c r="C10" s="7" t="inlineStr">
        <is>
          <t>Cascarilla</t>
        </is>
      </c>
      <c r="D10" s="9" t="n">
        <v>95</v>
      </c>
      <c r="E10" s="10" t="n">
        <v>30</v>
      </c>
      <c r="F10" s="10" t="n">
        <v>45</v>
      </c>
      <c r="G10" s="10">
        <f>F10-E10</f>
        <v/>
      </c>
      <c r="H10" s="11">
        <f>IF(E10=0,0,(F10-E10)/E10)</f>
        <v/>
      </c>
      <c r="I10" s="12" t="inlineStr">
        <is>
          <t>En stock</t>
        </is>
      </c>
    </row>
    <row r="11">
      <c r="A11" s="7" t="inlineStr">
        <is>
          <t>PROD-005</t>
        </is>
      </c>
      <c r="B11" s="8" t="inlineStr">
        <is>
          <t>Soya Molida</t>
        </is>
      </c>
      <c r="C11" s="7" t="inlineStr">
        <is>
          <t>Derivados</t>
        </is>
      </c>
      <c r="D11" s="9" t="n">
        <v>80</v>
      </c>
      <c r="E11" s="10" t="n">
        <v>50</v>
      </c>
      <c r="F11" s="10" t="n">
        <v>72</v>
      </c>
      <c r="G11" s="10">
        <f>F11-E11</f>
        <v/>
      </c>
      <c r="H11" s="11">
        <f>IF(E11=0,0,(F11-E11)/E11)</f>
        <v/>
      </c>
      <c r="I11" s="12" t="inlineStr">
        <is>
          <t>En stock</t>
        </is>
      </c>
    </row>
    <row r="12">
      <c r="A12" s="7" t="inlineStr">
        <is>
          <t>PROD-006</t>
        </is>
      </c>
      <c r="B12" s="8" t="inlineStr">
        <is>
          <t>Medio Quintal de Soya</t>
        </is>
      </c>
      <c r="C12" s="7" t="inlineStr">
        <is>
          <t>Soya</t>
        </is>
      </c>
      <c r="D12" s="9" t="n">
        <v>0</v>
      </c>
      <c r="E12" s="10" t="n">
        <v>0</v>
      </c>
      <c r="F12" s="10" t="n">
        <v>0</v>
      </c>
      <c r="G12" s="10">
        <f>F12-E12</f>
        <v/>
      </c>
      <c r="H12" s="11">
        <f>IF(E12=0,0,(F12-E12)/E12)</f>
        <v/>
      </c>
      <c r="I12" s="13" t="inlineStr">
        <is>
          <t>Agotado</t>
        </is>
      </c>
    </row>
    <row r="13">
      <c r="A13" s="7" t="inlineStr">
        <is>
          <t>PROD-007</t>
        </is>
      </c>
      <c r="B13" s="8" t="inlineStr">
        <is>
          <t>Johan</t>
        </is>
      </c>
      <c r="C13" s="7" t="inlineStr">
        <is>
          <t>Soya</t>
        </is>
      </c>
      <c r="D13" s="9" t="n">
        <v>99</v>
      </c>
      <c r="E13" s="10" t="n">
        <v>104</v>
      </c>
      <c r="F13" s="10" t="n">
        <v>124</v>
      </c>
      <c r="G13" s="10">
        <f>F13-E13</f>
        <v/>
      </c>
      <c r="H13" s="11">
        <f>IF(E13=0,0,(F13-E13)/E13)</f>
        <v/>
      </c>
      <c r="I13" s="12" t="inlineStr">
        <is>
          <t>En stock</t>
        </is>
      </c>
    </row>
    <row r="14">
      <c r="A14" s="14" t="n"/>
      <c r="B14" s="15" t="inlineStr">
        <is>
          <t>TOTAL STOCK DISPONIBLE</t>
        </is>
      </c>
      <c r="C14" s="14" t="n"/>
      <c r="D14" s="16">
        <f>SUM(D7:D13)</f>
        <v/>
      </c>
      <c r="E14" s="14" t="n"/>
      <c r="F14" s="14" t="n"/>
      <c r="G14" s="14" t="n"/>
      <c r="H14" s="14" t="n"/>
      <c r="I14" s="14" t="n"/>
    </row>
    <row r="15"/>
    <row r="16"/>
    <row r="17">
      <c r="A17" s="5" t="inlineStr">
        <is>
          <t>🛒 2. REGISTRO DETALLADO DE VENTAS</t>
        </is>
      </c>
    </row>
    <row r="18">
      <c r="A18" s="6" t="inlineStr">
        <is>
          <t>N° Comprobante</t>
        </is>
      </c>
      <c r="B18" s="6" t="inlineStr">
        <is>
          <t>Fecha / Hora</t>
        </is>
      </c>
      <c r="C18" s="6" t="inlineStr">
        <is>
          <t>Nombre Cliente</t>
        </is>
      </c>
      <c r="D18" s="6" t="inlineStr">
        <is>
          <t>NIT / CI</t>
        </is>
      </c>
      <c r="E18" s="6" t="inlineStr">
        <is>
          <t>Teléfono / WhatsApp</t>
        </is>
      </c>
      <c r="F18" s="6" t="inlineStr">
        <is>
          <t>Detalle de Productos</t>
        </is>
      </c>
      <c r="G18" s="6" t="inlineStr">
        <is>
          <t>Método de Pago</t>
        </is>
      </c>
      <c r="H18" s="6" t="inlineStr">
        <is>
          <t>Monto Total (Bs.)</t>
        </is>
      </c>
      <c r="I18" s="6" t="inlineStr">
        <is>
          <t>Estado Venta</t>
        </is>
      </c>
    </row>
    <row r="19">
      <c r="A19" s="7" t="inlineStr">
        <is>
          <t>REC-2026-001</t>
        </is>
      </c>
      <c r="B19" s="7" t="inlineStr">
        <is>
          <t>2026-07-22 10:15</t>
        </is>
      </c>
      <c r="C19" s="8" t="inlineStr">
        <is>
          <t>Carlos Gutiérrez</t>
        </is>
      </c>
      <c r="D19" s="7" t="inlineStr">
        <is>
          <t>4829102</t>
        </is>
      </c>
      <c r="E19" s="7" t="inlineStr">
        <is>
          <t>71234567</t>
        </is>
      </c>
      <c r="F19" s="8" t="inlineStr">
        <is>
          <t>10 Ql. Quintal de Soya</t>
        </is>
      </c>
      <c r="G19" s="7" t="inlineStr">
        <is>
          <t>Efectivo</t>
        </is>
      </c>
      <c r="H19" s="17" t="n">
        <v>1483.3</v>
      </c>
      <c r="I19" s="12" t="inlineStr">
        <is>
          <t>Completado</t>
        </is>
      </c>
    </row>
    <row r="20">
      <c r="A20" s="7" t="inlineStr">
        <is>
          <t>REC-2026-002</t>
        </is>
      </c>
      <c r="B20" s="7" t="inlineStr">
        <is>
          <t>2026-07-22 11:40</t>
        </is>
      </c>
      <c r="C20" s="8" t="inlineStr">
        <is>
          <t>Agropecuaria El Sol</t>
        </is>
      </c>
      <c r="D20" s="7" t="inlineStr">
        <is>
          <t>1029384</t>
        </is>
      </c>
      <c r="E20" s="7" t="inlineStr">
        <is>
          <t>78901234</t>
        </is>
      </c>
      <c r="F20" s="8" t="inlineStr">
        <is>
          <t>50 Ql. Quintal de Maíz</t>
        </is>
      </c>
      <c r="G20" s="7" t="inlineStr">
        <is>
          <t>QR / Transferencia</t>
        </is>
      </c>
      <c r="H20" s="17" t="n">
        <v>4750</v>
      </c>
      <c r="I20" s="12" t="inlineStr">
        <is>
          <t>Completado</t>
        </is>
      </c>
    </row>
    <row r="21">
      <c r="A21" s="7" t="inlineStr">
        <is>
          <t>REC-2026-003</t>
        </is>
      </c>
      <c r="B21" s="7" t="inlineStr">
        <is>
          <t>2026-07-22 15:20</t>
        </is>
      </c>
      <c r="C21" s="8" t="inlineStr">
        <is>
          <t>Roberto Vaca</t>
        </is>
      </c>
      <c r="D21" s="7" t="inlineStr">
        <is>
          <t>3920192</t>
        </is>
      </c>
      <c r="E21" s="7" t="inlineStr">
        <is>
          <t>75543210</t>
        </is>
      </c>
      <c r="F21" s="8" t="inlineStr">
        <is>
          <t>8 Ql. Quintal de Sorgo, 2 Ql. Soya Molida</t>
        </is>
      </c>
      <c r="G21" s="7" t="inlineStr">
        <is>
          <t>Efectivo</t>
        </is>
      </c>
      <c r="H21" s="17" t="n">
        <v>848</v>
      </c>
      <c r="I21" s="12" t="inlineStr">
        <is>
          <t>Completado</t>
        </is>
      </c>
    </row>
    <row r="22">
      <c r="A22" s="7" t="inlineStr">
        <is>
          <t>REC-2026-004</t>
        </is>
      </c>
      <c r="B22" s="7" t="inlineStr">
        <is>
          <t>2026-07-22 17:05</t>
        </is>
      </c>
      <c r="C22" s="8" t="inlineStr">
        <is>
          <t>Silos Santa Cruz</t>
        </is>
      </c>
      <c r="D22" s="7" t="inlineStr">
        <is>
          <t>8820193</t>
        </is>
      </c>
      <c r="E22" s="7" t="inlineStr">
        <is>
          <t>76112233</t>
        </is>
      </c>
      <c r="F22" s="8" t="inlineStr">
        <is>
          <t>20 Ql. Cascarilla de Soya</t>
        </is>
      </c>
      <c r="G22" s="7" t="inlineStr">
        <is>
          <t>QR / Transferencia</t>
        </is>
      </c>
      <c r="H22" s="17" t="n">
        <v>900</v>
      </c>
      <c r="I22" s="12" t="inlineStr">
        <is>
          <t>Completado</t>
        </is>
      </c>
    </row>
    <row r="23">
      <c r="A23" s="14" t="n"/>
      <c r="B23" s="14" t="n"/>
      <c r="C23" s="15" t="inlineStr">
        <is>
          <t>TOTAL INGRESOS POR VENTAS</t>
        </is>
      </c>
      <c r="D23" s="14" t="n"/>
      <c r="E23" s="14" t="n"/>
      <c r="F23" s="14" t="n"/>
      <c r="G23" s="14" t="n"/>
      <c r="H23" s="18">
        <f>SUM(H19:H22)</f>
        <v/>
      </c>
      <c r="I23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2026-07-22T22:00:36Z</dcterms:created>
  <dcterms:modified xmlns:dcterms="http://purl.org/dc/terms/" xmlns:xsi="http://www.w3.org/2001/XMLSchema-instance" xsi:type="dcterms:W3CDTF">2026-07-22T22:00:36Z</dcterms:modified>
</cp:coreProperties>
</file>